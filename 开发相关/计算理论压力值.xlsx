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<sst xmlns="http://schemas.openxmlformats.org/spreadsheetml/2006/main" count="13" uniqueCount="8">
  <si>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6bar时的理论力值，前进行程/N</t>
  </si>
  <si>
    <t>缸径/mm</t>
  </si>
  <si>
    <t>Pa</t>
  </si>
  <si>
    <t>Mpa</t>
  </si>
  <si>
    <t>bar</t>
  </si>
  <si>
    <t>93bar</t>
  </si>
  <si>
    <t>108.5bar</t>
  </si>
  <si>
    <t>气缸1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</si>
</sst>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190500</xdr:colOff>
      <xdr:row>3</xdr:row>
      <xdr:rowOff>53186</xdr:rowOff>
    </xdr:from>
    <xdr:to>
      <xdr:col>11</xdr:col>
      <xdr:colOff>288859</xdr:colOff>
      <xdr:row>5</xdr:row>
      <xdr:rowOff>137956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05325" y="580390"/>
          <a:ext cx="4618355" cy="4368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247650</xdr:colOff>
      <xdr:row>0</xdr:row>
      <xdr:rowOff>120650</xdr:rowOff>
    </xdr:from>
    <xdr:to>
      <xdr:col>13</xdr:col>
      <xdr:colOff>573405</xdr:colOff>
      <xdr:row>22</xdr:row>
      <xdr:rowOff>41910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16680" y="120650"/>
          <a:ext cx="6800850" cy="3790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A1" sqref="A1:D12"/>
    </sheetView>
  </sheetViews>
  <sheetFormatPr defaultColWidth="9" defaultRowHeight="13.85" outlineLevelCol="2"/>
  <cols>
    <col min="1" max="1" width="29.3362831858407" customWidth="1"/>
    <col min="2" max="2" width="12.7964601769912"/>
  </cols>
  <sheetData>
    <row r="1" spans="1:2">
      <c r="A1" t="s">
        <v>0</v>
      </c>
      <c r="B1" t="s">
        <v>1</v>
      </c>
    </row>
    <row r="2" spans="1:2">
      <c r="A2">
        <v>4712</v>
      </c>
      <c r="B2">
        <v>25.4</v>
      </c>
    </row>
    <row r="3" spans="1:1">
      <c r="A3">
        <f>4712/0.6*0.7</f>
        <v>5497.33333333333</v>
      </c>
    </row>
    <row r="5" spans="1:3">
      <c r="A5" s="1" t="s">
        <v>2</v>
      </c>
      <c r="B5" s="1" t="s">
        <v>3</v>
      </c>
      <c r="C5" s="1" t="s">
        <v>4</v>
      </c>
    </row>
    <row r="6" spans="1:3">
      <c r="A6" s="1">
        <f>A2/(((B2/2)/1000)*((B2/2)/1000)*3.14)</f>
        <v>9303967.65252129</v>
      </c>
      <c r="B6" s="1">
        <f>A6/1000/1000</f>
        <v>9.30396765252129</v>
      </c>
      <c r="C6" s="1" t="s">
        <v>5</v>
      </c>
    </row>
    <row r="7" spans="1:3">
      <c r="A7">
        <f>A3/(((B2/2)/1000)*((B2/2)/1000)*3.14)</f>
        <v>10854628.9279415</v>
      </c>
      <c r="B7" s="1">
        <f>A7/1000/1000</f>
        <v>10.8546289279415</v>
      </c>
      <c r="C7" s="1" t="s">
        <v>6</v>
      </c>
    </row>
    <row r="19" spans="1:3">
      <c r="A19" t="s">
        <v>7</v>
      </c>
      <c r="B19">
        <v>50</v>
      </c>
      <c r="C19">
        <v>72</v>
      </c>
    </row>
    <row r="22" spans="1:2">
      <c r="A22">
        <f>C19/B19</f>
        <v>1.44</v>
      </c>
      <c r="B22">
        <v>20</v>
      </c>
    </row>
    <row r="23" spans="1:1">
      <c r="A23">
        <f>A22*20</f>
        <v>28.8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15" sqref="B15"/>
    </sheetView>
  </sheetViews>
  <sheetFormatPr defaultColWidth="9.02654867256637" defaultRowHeight="13.85" outlineLevelRow="6" outlineLevelCol="2"/>
  <cols>
    <col min="1" max="1" width="29.3362831858407" customWidth="1"/>
    <col min="2" max="2" width="12.7964601769912"/>
    <col min="3" max="4" width="9"/>
  </cols>
  <sheetData>
    <row r="1" spans="1:2">
      <c r="A1" t="s">
        <v>0</v>
      </c>
      <c r="B1" t="s">
        <v>1</v>
      </c>
    </row>
    <row r="2" spans="1:2">
      <c r="A2">
        <v>9130</v>
      </c>
      <c r="B2">
        <v>25.4</v>
      </c>
    </row>
    <row r="5" spans="1:3">
      <c r="A5" s="1" t="s">
        <v>2</v>
      </c>
      <c r="B5" s="1" t="s">
        <v>3</v>
      </c>
      <c r="C5" s="1" t="s">
        <v>4</v>
      </c>
    </row>
    <row r="6" spans="1:3">
      <c r="A6" s="1">
        <f>A2/(((B2/2)/1000)*((B2/2)/1000)*3.14)</f>
        <v>18027424.589881</v>
      </c>
      <c r="B6" s="1">
        <f>A6/1000/1000</f>
        <v>18.027424589881</v>
      </c>
      <c r="C6" s="1">
        <v>180</v>
      </c>
    </row>
    <row r="7" spans="2:3">
      <c r="B7" s="1"/>
      <c r="C7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厚富 余</dc:creator>
  <cp:lastModifiedBy>fu</cp:lastModifiedBy>
  <dcterms:created xsi:type="dcterms:W3CDTF">2025-08-26T07:05:00Z</dcterms:created>
  <dcterms:modified xsi:type="dcterms:W3CDTF">2025-08-26T13:52:52Z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69C7CFC800804B6C871A4857D7940340_12</vt:lpwstr>
  </property>
  <property fmtid="{D5CDD505-2E9C-101B-9397-08002B2CF9AE}" pid="3" name="KSOProductBuildVer">
    <vt:lpwstr>2052-12.1.0.22529</vt:lpwstr>
  </property>
</Properties>
</file>
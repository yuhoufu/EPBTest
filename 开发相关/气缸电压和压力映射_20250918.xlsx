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wanxiang\EPBTest\开发相关\"/>
    </mc:Choice>
  </mc:AlternateContent>
  <xr:revisionPtr revIDLastSave="0" documentId="13_ncr:1_{883A68C5-DC33-437A-96E1-4FADEB162707}" xr6:coauthVersionLast="47" xr6:coauthVersionMax="47" xr10:uidLastSave="{00000000-0000-0000-0000-000000000000}"/>
  <bookViews>
    <workbookView xWindow="-23148" yWindow="6204" windowWidth="23256" windowHeight="12456" xr2:uid="{00000000-000D-0000-FFFF-FFFF00000000}"/>
  </bookViews>
  <sheets>
    <sheet name="气缸1" sheetId="1" r:id="rId1"/>
    <sheet name="气缸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<sst xmlns="http://schemas.openxmlformats.org/spreadsheetml/2006/main" count="8" uniqueCount="5">
  <si>
    <t>电压</t>
    <phoneticPr fontId="1" type="noConversion"/>
  </si>
  <si>
    <t>压力</t>
    <phoneticPr fontId="1" type="noConversion"/>
  </si>
  <si>
    <t>设置电压</t>
    <phoneticPr fontId="1" type="noConversion"/>
  </si>
  <si>
    <t>预期压力</t>
    <phoneticPr fontId="1" type="noConversion"/>
  </si>
  <si>
    <t>应设置电压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</si>
</sst>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气缸1!$B$1</c:f>
              <c:strCache>
                <c:ptCount val="1"/>
                <c:pt idx="0">
                  <c:v>压力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10911345957E-2"/>
                  <c:y val="-0.130464954892435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气缸1!$A$2:$A$12</c:f>
              <c:numCache>
                <c:formatCode>General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</c:numCache>
            </c:numRef>
          </c:xVal>
          <c:yVal>
            <c:numRef>
              <c:f>气缸1!$B$2:$B$12</c:f>
              <c:numCache>
                <c:formatCode>General</c:formatCode>
                <c:ptCount val="11"/>
                <c:pt idx="0">
                  <c:v>31.658999999999999</c:v>
                </c:pt>
                <c:pt idx="1">
                  <c:v>49.936999999999998</c:v>
                </c:pt>
                <c:pt idx="2">
                  <c:v>70.165999999999997</c:v>
                </c:pt>
                <c:pt idx="3">
                  <c:v>90.194000000000003</c:v>
                </c:pt>
                <c:pt idx="4">
                  <c:v>109.84</c:v>
                </c:pt>
                <c:pt idx="5">
                  <c:v>128.86000000000001</c:v>
                </c:pt>
                <c:pt idx="6">
                  <c:v>148.44999999999999</c:v>
                </c:pt>
                <c:pt idx="7">
                  <c:v>167.97</c:v>
                </c:pt>
                <c:pt idx="8">
                  <c:v>188.04</c:v>
                </c:pt>
                <c:pt idx="9">
                  <c:v>206.76</c:v>
                </c:pt>
                <c:pt idx="10">
                  <c:v>226.75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0E-43ED-94AE-31C2730AA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367983"/>
        <c:axId val="671362223"/>
      </c:scatterChart>
      <c:valAx>
        <c:axId val="6713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1362223"/>
        <c:crosses val="autoZero"/>
        <c:crossBetween val="midCat"/>
      </c:valAx>
      <c:valAx>
        <c:axId val="67136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136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气缸2!$B$1</c:f>
              <c:strCache>
                <c:ptCount val="1"/>
                <c:pt idx="0">
                  <c:v>压力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1888557480472551E-2"/>
                  <c:y val="-7.3628896596693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气缸2!$A$2:$A$12</c:f>
              <c:numCache>
                <c:formatCode>General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</c:numCache>
            </c:numRef>
          </c:xVal>
          <c:yVal>
            <c:numRef>
              <c:f>气缸2!$B$2:$B$12</c:f>
              <c:numCache>
                <c:formatCode>General</c:formatCode>
                <c:ptCount val="11"/>
                <c:pt idx="0">
                  <c:v>27.280999999999999</c:v>
                </c:pt>
                <c:pt idx="1">
                  <c:v>46.451999999999998</c:v>
                </c:pt>
                <c:pt idx="2">
                  <c:v>64.52</c:v>
                </c:pt>
                <c:pt idx="3">
                  <c:v>84.915999999999997</c:v>
                </c:pt>
                <c:pt idx="4">
                  <c:v>104.73</c:v>
                </c:pt>
                <c:pt idx="5">
                  <c:v>123.72</c:v>
                </c:pt>
                <c:pt idx="6">
                  <c:v>143.29</c:v>
                </c:pt>
                <c:pt idx="7">
                  <c:v>162.69</c:v>
                </c:pt>
                <c:pt idx="8">
                  <c:v>180.72</c:v>
                </c:pt>
                <c:pt idx="9">
                  <c:v>199.1</c:v>
                </c:pt>
                <c:pt idx="10">
                  <c:v>217.83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3B-485E-B911-3218048AE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583759"/>
        <c:axId val="713582319"/>
      </c:scatterChart>
      <c:valAx>
        <c:axId val="71358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582319"/>
        <c:crosses val="autoZero"/>
        <c:crossBetween val="midCat"/>
      </c:valAx>
      <c:valAx>
        <c:axId val="71358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58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249130</xdr:colOff>
      <xdr:row>0</xdr:row>
      <xdr:rowOff>105726</xdr:rowOff>
    </xdr:from>
    <xdr:to>
      <xdr:col>16</xdr:col>
      <xdr:colOff>299083</xdr:colOff>
      <xdr:row>25</xdr:row>
      <xdr:rowOff>24237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54899E5-0025-F4D1-94FA-3830A99AD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9850" y="105726"/>
          <a:ext cx="4528609" cy="4300966"/>
        </a:xfrm>
        <a:prstGeom prst="rect">
          <a:avLst/>
        </a:prstGeom>
      </xdr:spPr>
    </xdr:pic>
    <xdr:clientData/>
  </xdr:twoCellAnchor>
  <xdr:twoCellAnchor>
    <xdr:from>
      <xdr:col>0</xdr:col>
      <xdr:colOff>54292</xdr:colOff>
      <xdr:row>13</xdr:row>
      <xdr:rowOff>85725</xdr:rowOff>
    </xdr:from>
    <xdr:to>
      <xdr:col>7</xdr:col>
      <xdr:colOff>146685</xdr:colOff>
      <xdr:row>29</xdr:row>
      <xdr:rowOff>20955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5467241-8004-5F2B-E3E5-A28DFA442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145731</xdr:colOff>
      <xdr:row>0</xdr:row>
      <xdr:rowOff>22893</xdr:rowOff>
    </xdr:from>
    <xdr:to>
      <xdr:col>15</xdr:col>
      <xdr:colOff>121916</xdr:colOff>
      <xdr:row>24</xdr:row>
      <xdr:rowOff>152406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55013F0-DFAC-B424-9E31-732D65462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6371" y="22893"/>
          <a:ext cx="4454841" cy="4335753"/>
        </a:xfrm>
        <a:prstGeom prst="rect">
          <a:avLst/>
        </a:prstGeom>
      </xdr:spPr>
    </xdr:pic>
    <xdr:clientData/>
  </xdr:twoCellAnchor>
  <xdr:twoCellAnchor>
    <xdr:from>
      <xdr:col>0</xdr:col>
      <xdr:colOff>153352</xdr:colOff>
      <xdr:row>13</xdr:row>
      <xdr:rowOff>169545</xdr:rowOff>
    </xdr:from>
    <xdr:to>
      <xdr:col>7</xdr:col>
      <xdr:colOff>245745</xdr:colOff>
      <xdr:row>29</xdr:row>
      <xdr:rowOff>104775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F17221F-8CD2-6313-D695-1014D436E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G7" sqref="G7"/>
    </sheetView>
  </sheetViews>
  <sheetFormatPr defaultColWidth="9" defaultRowHeight="13.5" x14ac:dyDescent="0.3"/>
  <cols>
    <col min="8" max="8" width="11.796875" bestFit="1" customWidth="1"/>
  </cols>
  <sheetData>
    <row r="1" spans="1:8" s="1" customFormat="1" x14ac:dyDescent="0.3">
      <c r="A1" s="1" t="s">
        <v>0</v>
      </c>
      <c r="B1" s="1" t="s">
        <v>1</v>
      </c>
      <c r="D1" s="1" t="s">
        <v>2</v>
      </c>
      <c r="E1" s="1" t="s">
        <v>3</v>
      </c>
      <c r="G1" s="1" t="s">
        <v>3</v>
      </c>
      <c r="H1" s="1" t="s">
        <v>4</v>
      </c>
    </row>
    <row r="2" spans="1:8" x14ac:dyDescent="0.3">
      <c r="A2">
        <v>1</v>
      </c>
      <c r="B2">
        <v>31.658999999999999</v>
      </c>
      <c r="D2">
        <v>3.2</v>
      </c>
      <c r="E2">
        <f>D2*39.101-7.886</f>
        <v>117.2372</v>
      </c>
    </row>
    <row r="3" spans="1:8" x14ac:dyDescent="0.3">
      <c r="A3">
        <v>1.5</v>
      </c>
      <c r="B3">
        <v>49.936999999999998</v>
      </c>
      <c r="E3">
        <f t="shared" ref="E3:E12" si="0">D3*39.101-7.886</f>
        <v>-7.8860000000000001</v>
      </c>
    </row>
    <row r="4" spans="1:8" x14ac:dyDescent="0.3">
      <c r="A4">
        <v>2</v>
      </c>
      <c r="B4">
        <v>70.165999999999997</v>
      </c>
      <c r="E4">
        <f t="shared" si="0"/>
        <v>-7.8860000000000001</v>
      </c>
    </row>
    <row r="5" spans="1:8" x14ac:dyDescent="0.3">
      <c r="A5">
        <v>2.5</v>
      </c>
      <c r="B5">
        <v>90.194000000000003</v>
      </c>
      <c r="E5">
        <f t="shared" si="0"/>
        <v>-7.8860000000000001</v>
      </c>
    </row>
    <row r="6" spans="1:8" x14ac:dyDescent="0.3">
      <c r="A6">
        <v>3</v>
      </c>
      <c r="B6">
        <v>109.84</v>
      </c>
      <c r="E6">
        <f t="shared" si="0"/>
        <v>-7.8860000000000001</v>
      </c>
    </row>
    <row r="7" spans="1:8" x14ac:dyDescent="0.3">
      <c r="A7">
        <v>3.5</v>
      </c>
      <c r="B7">
        <v>128.86000000000001</v>
      </c>
      <c r="E7">
        <f t="shared" si="0"/>
        <v>-7.8860000000000001</v>
      </c>
    </row>
    <row r="8" spans="1:8" x14ac:dyDescent="0.3">
      <c r="A8">
        <v>4</v>
      </c>
      <c r="B8">
        <v>148.44999999999999</v>
      </c>
      <c r="E8">
        <f t="shared" si="0"/>
        <v>-7.8860000000000001</v>
      </c>
    </row>
    <row r="9" spans="1:8" x14ac:dyDescent="0.3">
      <c r="A9">
        <v>4.5</v>
      </c>
      <c r="B9">
        <v>167.97</v>
      </c>
      <c r="E9">
        <f t="shared" si="0"/>
        <v>-7.8860000000000001</v>
      </c>
    </row>
    <row r="10" spans="1:8" x14ac:dyDescent="0.3">
      <c r="A10">
        <v>5</v>
      </c>
      <c r="B10">
        <v>188.04</v>
      </c>
      <c r="E10">
        <f t="shared" si="0"/>
        <v>-7.8860000000000001</v>
      </c>
    </row>
    <row r="11" spans="1:8" x14ac:dyDescent="0.3">
      <c r="A11">
        <v>5.5</v>
      </c>
      <c r="B11">
        <v>206.76</v>
      </c>
      <c r="E11">
        <f t="shared" si="0"/>
        <v>-7.8860000000000001</v>
      </c>
    </row>
    <row r="12" spans="1:8" x14ac:dyDescent="0.3">
      <c r="A12">
        <v>6</v>
      </c>
      <c r="B12">
        <v>226.75</v>
      </c>
      <c r="E12">
        <f t="shared" si="0"/>
        <v>-7.8860000000000001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2"/>
    </sheetView>
  </sheetViews>
  <sheetFormatPr defaultColWidth="9"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27.280999999999999</v>
      </c>
    </row>
    <row r="3" spans="1:2" x14ac:dyDescent="0.3">
      <c r="A3">
        <v>1.5</v>
      </c>
      <c r="B3">
        <v>46.451999999999998</v>
      </c>
    </row>
    <row r="4" spans="1:2" x14ac:dyDescent="0.3">
      <c r="A4">
        <v>2</v>
      </c>
      <c r="B4">
        <v>64.52</v>
      </c>
    </row>
    <row r="5" spans="1:2" x14ac:dyDescent="0.3">
      <c r="A5">
        <v>2.5</v>
      </c>
      <c r="B5">
        <v>84.915999999999997</v>
      </c>
    </row>
    <row r="6" spans="1:2" x14ac:dyDescent="0.3">
      <c r="A6">
        <v>3</v>
      </c>
      <c r="B6">
        <v>104.73</v>
      </c>
    </row>
    <row r="7" spans="1:2" x14ac:dyDescent="0.3">
      <c r="A7">
        <v>3.5</v>
      </c>
      <c r="B7">
        <v>123.72</v>
      </c>
    </row>
    <row r="8" spans="1:2" x14ac:dyDescent="0.3">
      <c r="A8">
        <v>4</v>
      </c>
      <c r="B8">
        <v>143.29</v>
      </c>
    </row>
    <row r="9" spans="1:2" x14ac:dyDescent="0.3">
      <c r="A9">
        <v>4.5</v>
      </c>
      <c r="B9">
        <v>162.69</v>
      </c>
    </row>
    <row r="10" spans="1:2" x14ac:dyDescent="0.3">
      <c r="A10">
        <v>5</v>
      </c>
      <c r="B10">
        <v>180.72</v>
      </c>
    </row>
    <row r="11" spans="1:2" x14ac:dyDescent="0.3">
      <c r="A11">
        <v>5.5</v>
      </c>
      <c r="B11">
        <v>199.1</v>
      </c>
    </row>
    <row r="12" spans="1:2" x14ac:dyDescent="0.3">
      <c r="A12">
        <v>6</v>
      </c>
      <c r="B12">
        <v>217.83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气缸1</vt:lpstr>
      <vt:lpstr>气缸2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厚富 余</cp:lastModifiedBy>
  <dcterms:created xsi:type="dcterms:W3CDTF">2023-05-12T11:15:00Z</dcterms:created>
  <dcterms:modified xsi:type="dcterms:W3CDTF">2025-09-19T01:40:54Z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